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8_{F309FB3C-66E4-4E37-990B-13C1D3362070}" xr6:coauthVersionLast="47" xr6:coauthVersionMax="47" xr10:uidLastSave="{00000000-0000-0000-0000-000000000000}"/>
  <bookViews>
    <workbookView xWindow="28680" yWindow="-120" windowWidth="20730" windowHeight="11760" tabRatio="552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16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<sst xmlns="http://schemas.openxmlformats.org/spreadsheetml/2006/main" count="2018" uniqueCount="320">
  <si>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</si>
  <si>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</si>
  <si>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</si>
  <si>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</si>
  <si>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</si>
  <si>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</si>
  <si>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</si>
  <si>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</si>
  <si>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</si>
  <si>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</si>
  <si>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</si>
  <si>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</si>
  <si>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</si>
  <si>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</si>
  <si>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</si>
  <si>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</si>
  <si>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</si>
  <si>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</si>
  <si>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</si>
  <si>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</si>
  <si>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</si>
  <si>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</si>
  <si>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</si>
  <si>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</si>
  <si>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</si>
  <si>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</si>
  <si>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</si>
  <si>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</si>
  <si>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</si>
  <si>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</si>
  <si>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</si>
  <si>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</si>
  <si>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</si>
  <si>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</si>
  <si>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</si>
  <si>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</si>
  <si>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</si>
  <si>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</si>
  <si>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</si>
  <si>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</si>
  <si>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</si>
  <si>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</si>
  <si>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</si>
  <si>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</si>
  <si>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</si>
  <si>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</si>
  <si>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</si>
  <si>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</si>
  <si>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</si>
  <si>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</si>
  <si>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</si>
  <si>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</si>
  <si>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</si>
  <si>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</si>
  <si>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</si>
  <si>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</si>
  <si>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</si>
  <si>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</si>
  <si>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</si>
  <si>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</si>
  <si>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</si>
  <si>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</si>
  <si>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</si>
  <si>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</si>
  <si>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</si>
  <si>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</si>
  <si>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</si>
  <si>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</si>
  <si>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</si>
  <si>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</si>
  <si>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</si>
  <si>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</si>
  <si>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</si>
  <si>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</si>
  <si>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</si>
  <si>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</si>
  <si>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</si>
  <si>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</si>
  <si>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</si>
  <si>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</si>
  <si>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</si>
  <si>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</si>
  <si>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</si>
  <si>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</si>
  <si>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</si>
  <si>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</si>
  <si>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</si>
  <si>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</si>
  <si>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</si>
  <si>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</si>
  <si>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</si>
  <si>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</si>
  <si>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</si>
  <si>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</si>
  <si>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</si>
  <si>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</si>
  <si>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</si>
  <si>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</si>
  <si>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</si>
  <si>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</si>
  <si>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</si>
  <si>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</si>
  <si>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</si>
  <si>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</si>
  <si>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</si>
  <si>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</si>
  <si>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</si>
  <si>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</si>
  <si>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</si>
  <si>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</si>
  <si>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</si>
  <si>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</si>
  <si>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</si>
  <si>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</si>
  <si>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</si>
  <si>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</si>
  <si>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</si>
  <si>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</si>
  <si>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</si>
  <si>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</si>
  <si>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</si>
  <si>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</si>
  <si>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</si>
  <si>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</si>
  <si>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</si>
  <si>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</si>
  <si>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</si>
  <si>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</si>
  <si>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</si>
  <si>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</si>
  <si>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</si>
  <si>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</si>
  <si>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</si>
  <si>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</si>
  <si>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</si>
  <si>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</si>
  <si>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</si>
  <si>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</si>
  <si>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</si>
  <si>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</si>
  <si>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</si>
  <si>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</si>
  <si>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</si>
  <si>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</si>
  <si>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</si>
  <si>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</si>
  <si>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</si>
  <si>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</si>
  <si>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</si>
  <si>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</si>
  <si>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</si>
  <si>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</si>
  <si>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</si>
  <si>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</si>
  <si>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</si>
  <si>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</si>
  <si>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</si>
  <si>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</si>
  <si>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</si>
  <si>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</si>
  <si>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</si>
  <si>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</si>
  <si>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</si>
  <si>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</si>
  <si>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</si>
  <si>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</si>
  <si>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</si>
  <si>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</si>
  <si>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</si>
  <si>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</si>
  <si>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</si>
  <si>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</si>
  <si>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</si>
  <si>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</si>
  <si>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</si>
  <si>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</si>
  <si>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</si>
  <si>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</si>
  <si>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</si>
  <si>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</si>
  <si>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</si>
  <si>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</si>
  <si>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</si>
  <si>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</si>
  <si>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</si>
  <si>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</si>
  <si>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</si>
  <si>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</si>
  <si>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</si>
  <si>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</si>
  <si>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</si>
  <si>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</si>
  <si>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</si>
  <si>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</si>
  <si>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</si>
  <si>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</si>
  <si>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</si>
  <si>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</si>
  <si>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</si>
  <si>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</si>
  <si>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</si>
  <si>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</si>
  <si>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</si>
  <si>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</si>
  <si>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</si>
  <si>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</si>
  <si>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</si>
  <si>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</si>
  <si>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</si>
  <si>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</si>
  <si>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</si>
  <si>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</si>
  <si>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</si>
  <si>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</si>
  <si>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</si>
  <si>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</si>
  <si>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</si>
  <si>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</si>
  <si>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</si>
  <si>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</si>
  <si>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</si>
  <si>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</si>
  <si>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</si>
  <si>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</si>
  <si>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</si>
  <si>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</si>
  <si>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</si>
  <si>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</si>
  <si>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</si>
  <si>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</si>
  <si>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</si>
  <si>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</si>
  <si>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</si>
  <si>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</si>
  <si>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</si>
  <si>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</si>
  <si>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</si>
  <si>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</si>
  <si>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</si>
  <si>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</si>
  <si>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</si>
  <si>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</si>
  <si>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</si>
  <si>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</si>
  <si>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</si>
  <si>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</si>
  <si>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</si>
  <si>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</si>
  <si>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</si>
  <si>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</si>
  <si>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</si>
  <si>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</si>
  <si>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</si>
  <si>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</si>
  <si>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</si>
  <si>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</si>
  <si>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</si>
  <si>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</si>
  <si>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</si>
  <si>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</si>
  <si>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</si>
  <si>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</si>
  <si>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</si>
  <si>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</si>
  <si>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</si>
  <si>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</si>
  <si>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</si>
  <si>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</si>
  <si>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</si>
  <si>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</si>
  <si>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</si>
  <si>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</si>
  <si>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</si>
  <si>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</si>
  <si>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</si>
  <si>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</si>
  <si>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</si>
  <si>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</si>
  <si>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</si>
  <si>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</si>
  <si>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</si>
  <si>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</si>
  <si>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</si>
  <si>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</si>
  <si>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</si>
  <si>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</si>
  <si>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</si>
  <si>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</si>
  <si>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</si>
  <si>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</si>
  <si>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</si>
  <si>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</si>
  <si>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</si>
  <si>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</si>
  <si>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</si>
  <si>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</si>
  <si>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</si>
  <si>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</si>
  <si>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</si>
  <si>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</si>
  <si>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</si>
  <si>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</si>
  <si>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</si>
  <si>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</si>
  <si>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</si>
  <si>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</si>
  <si>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</si>
  <si>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</si>
  <si>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</si>
  <si>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</si>
  <si>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</si>
  <si>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</si>
  <si>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</si>
  <si>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</si>
  <si>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</si>
  <si>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</si>
  <si>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GAMEPASS SUBSCRIPTION SALES</t>
  </si>
  <si>
    <t>Soma de EA Play Season Pass</t>
  </si>
  <si>
    <t>Soma de Minecraft Season Pass Price</t>
  </si>
  <si>
    <t>Período de cálculo: 01/01/2024-31/12/2024 | Data de atualização: 25/01/2026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</si>
</sst>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5"/>
      <color rgb="FF22C55E"/>
      <name val="Aptos Narrow"/>
      <family val="2"/>
      <scheme val="minor"/>
    </font>
    <font>
      <sz val="11"/>
      <color rgb="FF22C55E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0" fillId="0" borderId="0" xfId="0" applyNumberFormat="1"/>
    <xf numFmtId="165" fontId="6" fillId="0" borderId="0" xfId="0" applyNumberFormat="1" applyFont="1"/>
    <xf numFmtId="0" fontId="0" fillId="7" borderId="0" xfId="0" applyFill="1" applyBorder="1"/>
    <xf numFmtId="0" fontId="0" fillId="0" borderId="0" xfId="0" applyBorder="1"/>
    <xf numFmtId="0" fontId="5" fillId="0" borderId="2" xfId="1" applyFont="1" applyBorder="1"/>
    <xf numFmtId="0" fontId="0" fillId="0" borderId="2" xfId="0" applyBorder="1"/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color theme="1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rgb="FF00B05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BD26CE0C-A83D-4CA1-9250-F41CF7585AFC}">
      <tableStyleElement type="wholeTable" dxfId="1"/>
      <tableStyleElement type="headerRow" dxfId="0"/>
    </tableStyle>
    <tableStyle name="SlicerStyleLight6 2 2" pivot="0" table="0" count="10" xr9:uid="{95E32096-0847-4C9C-8046-2A745FF40794}">
      <tableStyleElement type="wholeTable" dxfId="3"/>
      <tableStyleElement type="headerRow" dxfId="2"/>
    </tableStyle>
  </tableStyles>
  <colors>
    <mruColors>
      <color rgb="FF22C55E"/>
      <color rgb="FF2AE6B1"/>
      <color rgb="FF5BF6A8"/>
      <color rgb="FFFFFFFF"/>
      <color rgb="FFEDEDED"/>
      <color rgb="FFE0E0E0"/>
      <color rgb="FFE8E6E9"/>
      <color rgb="FF000000"/>
      <color rgb="FFF7F8FC"/>
      <color rgb="FF9BC848"/>
    </mruColors>
  </colors>
  <extLst>
    <ext xmlns:x14="http://schemas.microsoft.com/office/spreadsheetml/2009/9/main" uri="{46F421CA-312F-682f-3DD2-61675219B42D}">
      <x14:dxfs count="6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 2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[projeto.xlsx]C̳álculos!TBL_ANUAL_TOTAL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892600513467562E-2"/>
          <c:y val="7.8703703703703706E-2"/>
          <c:w val="0.95577571618512613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F-46CD-87EB-60055AEFD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7227504"/>
        <c:axId val="1637229424"/>
      </c:barChart>
      <c:catAx>
        <c:axId val="163722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7229424"/>
        <c:crosses val="autoZero"/>
        <c:auto val="1"/>
        <c:lblAlgn val="ctr"/>
        <c:lblOffset val="100"/>
        <c:noMultiLvlLbl val="0"/>
      </c:catAx>
      <c:valAx>
        <c:axId val="163722942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3722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1059657</xdr:colOff>
      <xdr:row>1</xdr:row>
      <xdr:rowOff>95250</xdr:rowOff>
    </xdr:from>
    <xdr:to>
      <xdr:col>0</xdr:col>
      <xdr:colOff>1619250</xdr:colOff>
      <xdr:row>1</xdr:row>
      <xdr:rowOff>726281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1B5FC7-8886-4179-B0F1-E5584B6B71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7" t="17471" r="72773" b="20797"/>
        <a:stretch>
          <a:fillRect/>
        </a:stretch>
      </xdr:blipFill>
      <xdr:spPr>
        <a:xfrm>
          <a:off x="1059657" y="285750"/>
          <a:ext cx="559593" cy="631031"/>
        </a:xfrm>
        <a:prstGeom prst="rect">
          <a:avLst/>
        </a:prstGeom>
      </xdr:spPr>
    </xdr:pic>
    <xdr:clientData/>
  </xdr:twoCellAnchor>
  <xdr:twoCellAnchor>
    <xdr:from>
      <xdr:col>4</xdr:col>
      <xdr:colOff>35719</xdr:colOff>
      <xdr:row>19</xdr:row>
      <xdr:rowOff>142875</xdr:rowOff>
    </xdr:from>
    <xdr:to>
      <xdr:col>24</xdr:col>
      <xdr:colOff>95250</xdr:colOff>
      <xdr:row>35</xdr:row>
      <xdr:rowOff>76201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DAFFCE78-4397-3BF1-BCFB-FF014851BBEA}"/>
            </a:ext>
          </a:extLst>
        </xdr:cNvPr>
        <xdr:cNvGrpSpPr/>
      </xdr:nvGrpSpPr>
      <xdr:grpSpPr>
        <a:xfrm>
          <a:off x="3355862" y="5055054"/>
          <a:ext cx="12129067" cy="2981326"/>
          <a:chOff x="5572125" y="2059781"/>
          <a:chExt cx="4964906" cy="2981326"/>
        </a:xfrm>
        <a:solidFill>
          <a:srgbClr val="FFFFFF"/>
        </a:solidFill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55B914E-452D-0EC5-0E5D-FC9E7F09D179}"/>
              </a:ext>
            </a:extLst>
          </xdr:cNvPr>
          <xdr:cNvSpPr/>
        </xdr:nvSpPr>
        <xdr:spPr>
          <a:xfrm>
            <a:off x="5572125" y="2059781"/>
            <a:ext cx="4726781" cy="2678906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D99EDC9-FA3E-4CC7-93BD-AD4DA84F8E97}"/>
              </a:ext>
            </a:extLst>
          </xdr:cNvPr>
          <xdr:cNvGraphicFramePr>
            <a:graphicFrameLocks/>
          </xdr:cNvGraphicFramePr>
        </xdr:nvGraphicFramePr>
        <xdr:xfrm>
          <a:off x="5965031" y="229790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2</xdr:row>
      <xdr:rowOff>450058</xdr:rowOff>
    </xdr:from>
    <xdr:to>
      <xdr:col>0</xdr:col>
      <xdr:colOff>1797844</xdr:colOff>
      <xdr:row>15</xdr:row>
      <xdr:rowOff>166687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27DF20F-1C97-4258-AAFE-8B4EED4A1F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11415"/>
              <a:ext cx="1797844" cy="28054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500063</xdr:colOff>
      <xdr:row>7</xdr:row>
      <xdr:rowOff>11905</xdr:rowOff>
    </xdr:from>
    <xdr:to>
      <xdr:col>22</xdr:col>
      <xdr:colOff>511969</xdr:colOff>
      <xdr:row>16</xdr:row>
      <xdr:rowOff>142874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A142871B-12F3-1610-B538-5EC004E187BE}"/>
            </a:ext>
          </a:extLst>
        </xdr:cNvPr>
        <xdr:cNvGrpSpPr/>
      </xdr:nvGrpSpPr>
      <xdr:grpSpPr>
        <a:xfrm>
          <a:off x="9766527" y="2406762"/>
          <a:ext cx="4910478" cy="2076791"/>
          <a:chOff x="7703343" y="2369345"/>
          <a:chExt cx="6143625" cy="244078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C40C0FE-6A59-8D2C-7B1B-177F546C190E}"/>
              </a:ext>
            </a:extLst>
          </xdr:cNvPr>
          <xdr:cNvSpPr/>
        </xdr:nvSpPr>
        <xdr:spPr>
          <a:xfrm>
            <a:off x="7715249" y="2381250"/>
            <a:ext cx="6131719" cy="24288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6">
        <xdr:nvSpPr>
          <xdr:cNvPr id="8" name="Retângulo 7">
            <a:extLst>
              <a:ext uri="{FF2B5EF4-FFF2-40B4-BE49-F238E27FC236}">
                <a16:creationId xmlns:a16="http://schemas.microsoft.com/office/drawing/2014/main" id="{8F1347E2-9494-557D-D313-0FD41E17E0B4}"/>
              </a:ext>
            </a:extLst>
          </xdr:cNvPr>
          <xdr:cNvSpPr/>
        </xdr:nvSpPr>
        <xdr:spPr>
          <a:xfrm>
            <a:off x="9679780" y="3274219"/>
            <a:ext cx="3417094" cy="1345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t>R$ </a:t>
            </a:r>
            <a:fld id="{2DF910E4-F2A2-47BA-82F5-A9FDBA240923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600</a:t>
            </a:fld>
            <a:endParaRPr lang="pt-BR" sz="44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4B4A73E5-501E-4243-AE08-A18D8746F3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84344" y="3274219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3FFECF49-3565-8A51-E00B-8B500E7CC030}"/>
              </a:ext>
            </a:extLst>
          </xdr:cNvPr>
          <xdr:cNvSpPr/>
        </xdr:nvSpPr>
        <xdr:spPr>
          <a:xfrm>
            <a:off x="7703343" y="2369345"/>
            <a:ext cx="6143625" cy="78581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 SEASON PASS</a:t>
            </a:r>
          </a:p>
        </xdr:txBody>
      </xdr:sp>
    </xdr:grpSp>
    <xdr:clientData/>
  </xdr:twoCellAnchor>
  <xdr:twoCellAnchor>
    <xdr:from>
      <xdr:col>4</xdr:col>
      <xdr:colOff>0</xdr:colOff>
      <xdr:row>7</xdr:row>
      <xdr:rowOff>11905</xdr:rowOff>
    </xdr:from>
    <xdr:to>
      <xdr:col>11</xdr:col>
      <xdr:colOff>330992</xdr:colOff>
      <xdr:row>16</xdr:row>
      <xdr:rowOff>9525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0F7DB62A-B3D7-B035-21AC-431759FA320F}"/>
            </a:ext>
          </a:extLst>
        </xdr:cNvPr>
        <xdr:cNvGrpSpPr/>
      </xdr:nvGrpSpPr>
      <xdr:grpSpPr>
        <a:xfrm>
          <a:off x="3320143" y="2406762"/>
          <a:ext cx="4617242" cy="1943442"/>
          <a:chOff x="2343149" y="5403058"/>
          <a:chExt cx="6143625" cy="244078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42697A6B-F73F-4121-AD2A-4A117AB15E1E}"/>
              </a:ext>
            </a:extLst>
          </xdr:cNvPr>
          <xdr:cNvGrpSpPr/>
        </xdr:nvGrpSpPr>
        <xdr:grpSpPr>
          <a:xfrm>
            <a:off x="2343149" y="5403058"/>
            <a:ext cx="6143625" cy="2440780"/>
            <a:chOff x="7703343" y="2369345"/>
            <a:chExt cx="6143625" cy="244078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5898F2EC-74B7-2D28-A6FB-0C25567AC1EB}"/>
                </a:ext>
              </a:extLst>
            </xdr:cNvPr>
            <xdr:cNvSpPr/>
          </xdr:nvSpPr>
          <xdr:spPr>
            <a:xfrm>
              <a:off x="7715249" y="2381250"/>
              <a:ext cx="6131719" cy="24288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5">
          <xdr:nvSpPr>
            <xdr:cNvPr id="15" name="Retângulo 14">
              <a:extLst>
                <a:ext uri="{FF2B5EF4-FFF2-40B4-BE49-F238E27FC236}">
                  <a16:creationId xmlns:a16="http://schemas.microsoft.com/office/drawing/2014/main" id="{E99C915A-EBBD-5FA4-2E34-04C1027EA659}"/>
                </a:ext>
              </a:extLst>
            </xdr:cNvPr>
            <xdr:cNvSpPr/>
          </xdr:nvSpPr>
          <xdr:spPr>
            <a:xfrm>
              <a:off x="9679780" y="3274219"/>
              <a:ext cx="3417094" cy="134540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601A86A-05E0-4370-B74A-2BD2AAC9776E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44E6D8CF-3FB9-FCF4-641E-14C45FEF3E48}"/>
                </a:ext>
              </a:extLst>
            </xdr:cNvPr>
            <xdr:cNvSpPr/>
          </xdr:nvSpPr>
          <xdr:spPr>
            <a:xfrm>
              <a:off x="7703343" y="2369345"/>
              <a:ext cx="6143625" cy="78581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 MINECRAFT 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26A399D3-9935-4DAE-B1EC-D860B42EE6E6}"/>
              </a:ext>
            </a:extLst>
          </xdr:cNvPr>
          <xdr:cNvGrpSpPr/>
        </xdr:nvGrpSpPr>
        <xdr:grpSpPr>
          <a:xfrm>
            <a:off x="2688431" y="6629401"/>
            <a:ext cx="1549476" cy="75247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3D703096-F2AE-35FA-021E-F82B26BB27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4922AC5B-8AB0-C07E-CD1A-DCFB0B8019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21432</xdr:colOff>
      <xdr:row>19</xdr:row>
      <xdr:rowOff>152399</xdr:rowOff>
    </xdr:from>
    <xdr:to>
      <xdr:col>23</xdr:col>
      <xdr:colOff>142875</xdr:colOff>
      <xdr:row>23</xdr:row>
      <xdr:rowOff>14450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CE808AB6-63FA-4AC4-8AA7-66ACEE006FCA}"/>
            </a:ext>
          </a:extLst>
        </xdr:cNvPr>
        <xdr:cNvSpPr/>
      </xdr:nvSpPr>
      <xdr:spPr>
        <a:xfrm>
          <a:off x="3319463" y="5045868"/>
          <a:ext cx="11491912" cy="62405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TOTAL SUBSCRIPTION XBOX GAME PASS</a:t>
          </a:r>
        </a:p>
      </xdr:txBody>
    </xdr:sp>
    <xdr:clientData/>
  </xdr:twoCellAnchor>
  <xdr:twoCellAnchor>
    <xdr:from>
      <xdr:col>0</xdr:col>
      <xdr:colOff>107156</xdr:colOff>
      <xdr:row>1</xdr:row>
      <xdr:rowOff>59531</xdr:rowOff>
    </xdr:from>
    <xdr:to>
      <xdr:col>0</xdr:col>
      <xdr:colOff>802481</xdr:colOff>
      <xdr:row>1</xdr:row>
      <xdr:rowOff>754856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3256F8ED-CD1D-4FBD-AAF6-4FF9F0B4495C}"/>
            </a:ext>
          </a:extLst>
        </xdr:cNvPr>
        <xdr:cNvSpPr/>
      </xdr:nvSpPr>
      <xdr:spPr>
        <a:xfrm>
          <a:off x="107156" y="250031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23813</xdr:colOff>
      <xdr:row>2</xdr:row>
      <xdr:rowOff>71438</xdr:rowOff>
    </xdr:from>
    <xdr:to>
      <xdr:col>0</xdr:col>
      <xdr:colOff>1464469</xdr:colOff>
      <xdr:row>2</xdr:row>
      <xdr:rowOff>392906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FEC68AD5-E367-D77F-76EF-465FC773F67C}"/>
            </a:ext>
          </a:extLst>
        </xdr:cNvPr>
        <xdr:cNvSpPr/>
      </xdr:nvSpPr>
      <xdr:spPr>
        <a:xfrm>
          <a:off x="23813" y="1131094"/>
          <a:ext cx="1440656" cy="321468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 vindo</a:t>
          </a:r>
          <a:r>
            <a:rPr lang="pt-BR" sz="1100" baseline="0"/>
            <a:t> Liana!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" refreshedDate="46046.954528703704" createdVersion="8" refreshedVersion="8" minRefreshableVersion="3" recordCount="295" xr:uid="{7DACA916-5235-48F3-90F9-8FA60BCEEA9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664986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B63FF-035D-4A7A-B0FF-196184310F92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41742-ABD5-4587-97FF-A4EB83F6378E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2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7409D-127B-463E-8087-C12D58768E3F}" name="TBL_A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5:C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141D956-ED8E-4E46-92FD-177DCC145E54}" sourceName="Subscription Type">
  <pivotTables>
    <pivotTable tabId="3" name="TBL_ANUAL_TOTAL"/>
    <pivotTable tabId="3" name="Tabela dinâmica3"/>
    <pivotTable tabId="3" name="Tabela dinâmica4"/>
  </pivotTables>
  <data>
    <tabular pivotCacheId="46649869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CC4FA44-7836-4E4E-94C7-C226E5542F8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Q6" sqref="Q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25"/>
  <sheetViews>
    <sheetView showGridLines="0" zoomScaleNormal="100" workbookViewId="0">
      <selection activeCell="I15" sqref="I1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9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5" x14ac:dyDescent="0.25">
      <c r="B3" s="12" t="s">
        <v>16</v>
      </c>
      <c r="C3" t="s">
        <v>24</v>
      </c>
    </row>
    <row r="5" spans="2:5" x14ac:dyDescent="0.25">
      <c r="B5" s="12" t="s">
        <v>313</v>
      </c>
      <c r="C5" t="s">
        <v>315</v>
      </c>
    </row>
    <row r="6" spans="2:5" x14ac:dyDescent="0.25">
      <c r="B6" s="13" t="s">
        <v>23</v>
      </c>
      <c r="C6" s="14">
        <v>217</v>
      </c>
    </row>
    <row r="7" spans="2:5" x14ac:dyDescent="0.25">
      <c r="B7" s="13" t="s">
        <v>19</v>
      </c>
      <c r="C7" s="14">
        <v>1537</v>
      </c>
    </row>
    <row r="8" spans="2:5" x14ac:dyDescent="0.25">
      <c r="B8" s="13" t="s">
        <v>314</v>
      </c>
      <c r="C8" s="14">
        <v>1754</v>
      </c>
    </row>
    <row r="10" spans="2:5" x14ac:dyDescent="0.25">
      <c r="B10" s="12" t="s">
        <v>16</v>
      </c>
      <c r="C10" t="s">
        <v>24</v>
      </c>
    </row>
    <row r="12" spans="2:5" x14ac:dyDescent="0.25">
      <c r="B12" s="12" t="s">
        <v>313</v>
      </c>
      <c r="C12" t="s">
        <v>317</v>
      </c>
    </row>
    <row r="13" spans="2:5" x14ac:dyDescent="0.25">
      <c r="B13" s="13" t="s">
        <v>22</v>
      </c>
      <c r="C13" s="16">
        <v>0</v>
      </c>
    </row>
    <row r="14" spans="2:5" x14ac:dyDescent="0.25">
      <c r="B14" s="13" t="s">
        <v>26</v>
      </c>
      <c r="C14" s="16">
        <v>0</v>
      </c>
    </row>
    <row r="15" spans="2:5" x14ac:dyDescent="0.25">
      <c r="B15" s="13" t="s">
        <v>18</v>
      </c>
      <c r="C15" s="16">
        <v>600</v>
      </c>
    </row>
    <row r="16" spans="2:5" x14ac:dyDescent="0.25">
      <c r="B16" s="13" t="s">
        <v>314</v>
      </c>
      <c r="C16" s="16">
        <v>600</v>
      </c>
      <c r="E16">
        <f>GETPIVOTDATA("EA Play Season Pass
Price",$B$12)</f>
        <v>600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313</v>
      </c>
      <c r="C21" t="s">
        <v>318</v>
      </c>
    </row>
    <row r="22" spans="2:5" x14ac:dyDescent="0.25">
      <c r="B22" s="13" t="s">
        <v>22</v>
      </c>
      <c r="C22" s="14">
        <v>0</v>
      </c>
    </row>
    <row r="23" spans="2:5" x14ac:dyDescent="0.25">
      <c r="B23" s="13" t="s">
        <v>26</v>
      </c>
      <c r="C23" s="14">
        <v>540</v>
      </c>
    </row>
    <row r="24" spans="2:5" x14ac:dyDescent="0.25">
      <c r="B24" s="13" t="s">
        <v>18</v>
      </c>
      <c r="C24" s="14">
        <v>400</v>
      </c>
    </row>
    <row r="25" spans="2:5" x14ac:dyDescent="0.25">
      <c r="B25" s="13" t="s">
        <v>314</v>
      </c>
      <c r="C25" s="14">
        <v>940</v>
      </c>
      <c r="E25" s="17">
        <f>GETPIVOTDATA("Minecraft Season Pass Price",$B$21)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F56"/>
  <sheetViews>
    <sheetView showGridLines="0" showRowColHeaders="0" tabSelected="1" zoomScale="70" zoomScaleNormal="70" workbookViewId="0">
      <selection activeCell="E19" sqref="E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4" customWidth="1"/>
    <col min="2" max="2" width="3.5703125" customWidth="1"/>
    <col min="12" max="12" width="6.5703125" customWidth="1"/>
  </cols>
  <sheetData>
    <row r="2" spans="2:32" ht="68.25" customHeight="1" thickBot="1" x14ac:dyDescent="0.35">
      <c r="C2" s="20" t="s">
        <v>316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19"/>
      <c r="Y2" s="19"/>
    </row>
    <row r="3" spans="2:32" ht="68.25" customHeight="1" thickTop="1" x14ac:dyDescent="0.3">
      <c r="C3" s="15"/>
    </row>
    <row r="4" spans="2:32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2:32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2:32" ht="10.5" customHeight="1" x14ac:dyDescent="0.25">
      <c r="B6" s="7"/>
      <c r="C6" s="7" t="s">
        <v>319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2:32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2:32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2:32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2:32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2:32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1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2:3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2:3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2:3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2:3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2:32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2:3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2:32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2:32" x14ac:dyDescent="0.25">
      <c r="B19" s="7"/>
      <c r="C19" s="7"/>
      <c r="D19" s="7"/>
      <c r="E19" s="2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2:32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2:32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2:32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2:32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2:32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2:32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2:32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2:32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2:32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2:32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2:32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2:32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2:32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2:32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2:32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2:32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2:32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2:32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2:32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2:32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2:3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2:32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2:32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2:32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2:32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2:3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2:32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2:32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2:32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2:32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2:32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2:32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2:3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2:32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2:32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2:32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2:32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 Gabriel</cp:lastModifiedBy>
  <dcterms:created xsi:type="dcterms:W3CDTF">2024-12-19T13:13:10Z</dcterms:created>
  <dcterms:modified xsi:type="dcterms:W3CDTF">2026-01-25T03:02:41Z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